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may\projects\Excel-JavaScript\"/>
    </mc:Choice>
  </mc:AlternateContent>
  <xr:revisionPtr revIDLastSave="0" documentId="8_{803A2783-D875-4BB3-838E-EDCCC45B9438}" xr6:coauthVersionLast="47" xr6:coauthVersionMax="47" xr10:uidLastSave="{00000000-0000-0000-0000-000000000000}"/>
  <bookViews>
    <workbookView xWindow="-108" yWindow="-108" windowWidth="23256" windowHeight="12456" tabRatio="618" xr2:uid="{AC11D77B-B30F-4706-9096-DA3D55C2DF6A}"/>
  </bookViews>
  <sheets>
    <sheet name="Physics" sheetId="2" r:id="rId1"/>
    <sheet name="Chemistry" sheetId="6" r:id="rId2"/>
    <sheet name="Maths" sheetId="7" r:id="rId3"/>
    <sheet name="Sheet1" sheetId="9" r:id="rId4"/>
    <sheet name="OverAllPerformanance" sheetId="8" r:id="rId5"/>
    <sheet name="ExamGoal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0" l="1"/>
  <c r="Q20" i="10"/>
  <c r="R19" i="10"/>
  <c r="Q19" i="10"/>
  <c r="R18" i="10"/>
  <c r="Q18" i="10"/>
  <c r="R17" i="10"/>
  <c r="Q17" i="10"/>
  <c r="R16" i="10"/>
  <c r="Q16" i="10"/>
  <c r="R15" i="10"/>
  <c r="Q15" i="10"/>
  <c r="R14" i="10"/>
  <c r="Q14" i="10"/>
  <c r="R13" i="10"/>
  <c r="Q13" i="10"/>
  <c r="R12" i="10"/>
  <c r="Q12" i="10"/>
  <c r="R11" i="10"/>
  <c r="Q11" i="10"/>
  <c r="R10" i="10"/>
  <c r="Q10" i="10"/>
  <c r="R9" i="10"/>
  <c r="Q9" i="10"/>
  <c r="R8" i="10"/>
  <c r="Q8" i="10"/>
  <c r="R7" i="10"/>
  <c r="Q7" i="10"/>
  <c r="R6" i="10"/>
  <c r="Q6" i="10"/>
  <c r="R5" i="10"/>
  <c r="Q5" i="10"/>
  <c r="R4" i="10"/>
  <c r="Q4" i="10"/>
  <c r="R3" i="10"/>
  <c r="Q3" i="10"/>
  <c r="R2" i="10"/>
  <c r="Q2" i="10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Y24" i="8"/>
  <c r="X24" i="8"/>
  <c r="W24" i="8"/>
  <c r="Y23" i="8"/>
  <c r="X23" i="8"/>
  <c r="W23" i="8"/>
  <c r="Y22" i="8"/>
  <c r="X22" i="8"/>
  <c r="W22" i="8"/>
  <c r="Y21" i="8"/>
  <c r="X21" i="8"/>
  <c r="W21" i="8"/>
  <c r="Y20" i="8"/>
  <c r="X20" i="8"/>
  <c r="W20" i="8"/>
  <c r="Y19" i="8"/>
  <c r="X19" i="8"/>
  <c r="W19" i="8"/>
  <c r="Y18" i="8"/>
  <c r="X18" i="8"/>
  <c r="W18" i="8"/>
  <c r="Y17" i="8"/>
  <c r="X17" i="8"/>
  <c r="W17" i="8"/>
  <c r="Y16" i="8"/>
  <c r="X16" i="8"/>
  <c r="W16" i="8"/>
  <c r="Y15" i="8"/>
  <c r="X15" i="8"/>
  <c r="W15" i="8"/>
  <c r="Y14" i="8"/>
  <c r="X14" i="8"/>
  <c r="W14" i="8"/>
  <c r="Y13" i="8"/>
  <c r="X13" i="8"/>
  <c r="W13" i="8"/>
  <c r="Y12" i="8"/>
  <c r="X12" i="8"/>
  <c r="W12" i="8"/>
  <c r="Y11" i="8"/>
  <c r="X11" i="8"/>
  <c r="W11" i="8"/>
  <c r="Y10" i="8"/>
  <c r="X10" i="8"/>
  <c r="W10" i="8"/>
  <c r="Y9" i="8"/>
  <c r="X9" i="8"/>
  <c r="W9" i="8"/>
  <c r="Y8" i="8"/>
  <c r="X8" i="8"/>
  <c r="W8" i="8"/>
  <c r="Y7" i="8"/>
  <c r="X7" i="8"/>
  <c r="W7" i="8"/>
  <c r="Y6" i="8"/>
  <c r="X6" i="8"/>
  <c r="W6" i="8"/>
  <c r="Y5" i="8"/>
  <c r="X5" i="8"/>
  <c r="W5" i="8"/>
  <c r="Y4" i="8"/>
  <c r="X4" i="8"/>
  <c r="W4" i="8"/>
  <c r="Y3" i="8"/>
  <c r="X3" i="8"/>
  <c r="W3" i="8"/>
  <c r="Y2" i="8"/>
  <c r="X2" i="8"/>
  <c r="W2" i="8"/>
  <c r="Y30" i="7"/>
  <c r="X30" i="7"/>
  <c r="W30" i="7"/>
  <c r="Y29" i="7"/>
  <c r="X29" i="7"/>
  <c r="W29" i="7"/>
  <c r="Y28" i="7"/>
  <c r="X28" i="7"/>
  <c r="W28" i="7"/>
  <c r="Y27" i="7"/>
  <c r="X27" i="7"/>
  <c r="W27" i="7"/>
  <c r="Y26" i="7"/>
  <c r="X26" i="7"/>
  <c r="W26" i="7"/>
  <c r="Y25" i="7"/>
  <c r="X25" i="7"/>
  <c r="W25" i="7"/>
  <c r="Y24" i="7"/>
  <c r="X24" i="7"/>
  <c r="W24" i="7"/>
  <c r="Y23" i="7"/>
  <c r="X23" i="7"/>
  <c r="W23" i="7"/>
  <c r="Y22" i="7"/>
  <c r="X22" i="7"/>
  <c r="W22" i="7"/>
  <c r="Y21" i="7"/>
  <c r="X21" i="7"/>
  <c r="W21" i="7"/>
  <c r="Y20" i="7"/>
  <c r="X20" i="7"/>
  <c r="W20" i="7"/>
  <c r="Y19" i="7"/>
  <c r="X19" i="7"/>
  <c r="W19" i="7"/>
  <c r="Y18" i="7"/>
  <c r="X18" i="7"/>
  <c r="W18" i="7"/>
  <c r="Y17" i="7"/>
  <c r="X17" i="7"/>
  <c r="W17" i="7"/>
  <c r="Y16" i="7"/>
  <c r="X16" i="7"/>
  <c r="W16" i="7"/>
  <c r="Y15" i="7"/>
  <c r="X15" i="7"/>
  <c r="W15" i="7"/>
  <c r="Y14" i="7"/>
  <c r="X14" i="7"/>
  <c r="W14" i="7"/>
  <c r="Y13" i="7"/>
  <c r="X13" i="7"/>
  <c r="W13" i="7"/>
  <c r="Y12" i="7"/>
  <c r="X12" i="7"/>
  <c r="W12" i="7"/>
  <c r="Y11" i="7"/>
  <c r="X11" i="7"/>
  <c r="W11" i="7"/>
  <c r="Y10" i="7"/>
  <c r="X10" i="7"/>
  <c r="W10" i="7"/>
  <c r="Y9" i="7"/>
  <c r="X9" i="7"/>
  <c r="W9" i="7"/>
  <c r="Y23" i="6"/>
  <c r="X23" i="6"/>
  <c r="W23" i="6"/>
  <c r="Y22" i="6"/>
  <c r="X22" i="6"/>
  <c r="W22" i="6"/>
  <c r="Y21" i="6"/>
  <c r="X21" i="6"/>
  <c r="W21" i="6"/>
  <c r="Y20" i="6"/>
  <c r="X20" i="6"/>
  <c r="W20" i="6"/>
  <c r="Y19" i="6"/>
  <c r="X19" i="6"/>
  <c r="W19" i="6"/>
  <c r="Y18" i="6"/>
  <c r="X18" i="6"/>
  <c r="W18" i="6"/>
  <c r="Y17" i="6"/>
  <c r="X17" i="6"/>
  <c r="W17" i="6"/>
  <c r="Y16" i="6"/>
  <c r="X16" i="6"/>
  <c r="W16" i="6"/>
  <c r="Y15" i="6"/>
  <c r="X15" i="6"/>
  <c r="W15" i="6"/>
  <c r="Y14" i="6"/>
  <c r="X14" i="6"/>
  <c r="W14" i="6"/>
  <c r="Y13" i="6"/>
  <c r="X13" i="6"/>
  <c r="W13" i="6"/>
  <c r="Y12" i="6"/>
  <c r="X12" i="6"/>
  <c r="W12" i="6"/>
  <c r="Y11" i="6"/>
  <c r="X11" i="6"/>
  <c r="W11" i="6"/>
  <c r="Y10" i="6"/>
  <c r="X10" i="6"/>
  <c r="W10" i="6"/>
  <c r="Y9" i="6"/>
  <c r="X9" i="6"/>
  <c r="W9" i="6"/>
  <c r="Y8" i="6"/>
  <c r="X8" i="6"/>
  <c r="W8" i="6"/>
  <c r="Y7" i="6"/>
  <c r="X7" i="6"/>
  <c r="W7" i="6"/>
  <c r="Y6" i="6"/>
  <c r="X6" i="6"/>
  <c r="W6" i="6"/>
  <c r="Y5" i="6"/>
  <c r="X5" i="6"/>
  <c r="W5" i="6"/>
  <c r="Y4" i="6"/>
  <c r="X4" i="6"/>
  <c r="W4" i="6"/>
  <c r="Y3" i="6"/>
  <c r="X3" i="6"/>
  <c r="W3" i="6"/>
  <c r="Y2" i="6"/>
  <c r="X2" i="6"/>
  <c r="W2" i="6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</calcChain>
</file>

<file path=xl/sharedStrings.xml><?xml version="1.0" encoding="utf-8"?>
<sst xmlns="http://schemas.openxmlformats.org/spreadsheetml/2006/main" count="108" uniqueCount="34">
  <si>
    <t>totalScore</t>
  </si>
  <si>
    <t>userScore</t>
  </si>
  <si>
    <t>timeTaken</t>
  </si>
  <si>
    <t>totalQuestions</t>
  </si>
  <si>
    <t>attemptedQuestions</t>
  </si>
  <si>
    <t>unAttemptedQuestions</t>
  </si>
  <si>
    <t>correctQuestions</t>
  </si>
  <si>
    <t>inCorrectQuestions</t>
  </si>
  <si>
    <t>accuracy</t>
  </si>
  <si>
    <t>completed</t>
  </si>
  <si>
    <t>correctScore</t>
  </si>
  <si>
    <t>inCorrectScore</t>
  </si>
  <si>
    <t>unAttemptedScore</t>
  </si>
  <si>
    <t>rank</t>
  </si>
  <si>
    <t>percentile</t>
  </si>
  <si>
    <t>testName</t>
  </si>
  <si>
    <t>date</t>
  </si>
  <si>
    <t xml:space="preserve"> </t>
  </si>
  <si>
    <t xml:space="preserve">  </t>
  </si>
  <si>
    <t>totalQuestion</t>
  </si>
  <si>
    <t>isCorrectScore</t>
  </si>
  <si>
    <t>26/4/2026</t>
  </si>
  <si>
    <t>Short Practice Test 01</t>
  </si>
  <si>
    <t>maxTime</t>
  </si>
  <si>
    <t>maxPositiveMarks</t>
  </si>
  <si>
    <t>correct</t>
  </si>
  <si>
    <t>unAttempt</t>
  </si>
  <si>
    <t>positiveMarks</t>
  </si>
  <si>
    <t>maxNegativeMarks</t>
  </si>
  <si>
    <t>negativeMarks</t>
  </si>
  <si>
    <t>attempt</t>
  </si>
  <si>
    <t>wrong</t>
  </si>
  <si>
    <t>Date</t>
  </si>
  <si>
    <t>2026-05-10T17:41:08.886Z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</si>
</sst>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Physics!$W$1</c:f>
              <c:strCache>
                <c:ptCount val="1"/>
                <c:pt idx="0">
                  <c:v>correctScore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Physics!$W$2:$W$24</c:f>
              <c:numCache>
                <c:formatCode>General</c:formatCode>
                <c:ptCount val="23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8-4D1A-BE06-79EFB0493B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98964048"/>
        <c:axId val="298963088"/>
      </c:lineChart>
      <c:catAx>
        <c:axId val="298964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63088"/>
        <c:crosses val="autoZero"/>
        <c:auto val="1"/>
        <c:lblAlgn val="ctr"/>
        <c:lblOffset val="100"/>
        <c:noMultiLvlLbl val="0"/>
      </c:catAx>
      <c:valAx>
        <c:axId val="29896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6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Physics!$X$1</c:f>
              <c:strCache>
                <c:ptCount val="1"/>
                <c:pt idx="0">
                  <c:v>rank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Physics!$X$2:$X$24</c:f>
              <c:numCache>
                <c:formatCode>0</c:formatCode>
                <c:ptCount val="23"/>
                <c:pt idx="0">
                  <c:v>8889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0-44EC-9328-523FF6C4F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976528"/>
        <c:axId val="298981328"/>
      </c:lineChart>
      <c:catAx>
        <c:axId val="298976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81328"/>
        <c:crosses val="autoZero"/>
        <c:auto val="1"/>
        <c:lblAlgn val="ctr"/>
        <c:lblOffset val="100"/>
        <c:noMultiLvlLbl val="0"/>
      </c:catAx>
      <c:valAx>
        <c:axId val="2989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7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Physics!$Y$1</c:f>
              <c:strCache>
                <c:ptCount val="1"/>
                <c:pt idx="0">
                  <c:v>percentile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Physics!$Y$2:$Y$24</c:f>
              <c:numCache>
                <c:formatCode>General</c:formatCode>
                <c:ptCount val="23"/>
                <c:pt idx="0">
                  <c:v>31.703055507422167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D-4BB7-A73A-1442529F66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0697184"/>
        <c:axId val="500707264"/>
      </c:lineChart>
      <c:catAx>
        <c:axId val="500697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07264"/>
        <c:crosses val="autoZero"/>
        <c:auto val="1"/>
        <c:lblAlgn val="ctr"/>
        <c:lblOffset val="100"/>
        <c:noMultiLvlLbl val="0"/>
      </c:catAx>
      <c:valAx>
        <c:axId val="50070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9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Chemistry!$W$1</c:f>
              <c:strCache>
                <c:ptCount val="1"/>
                <c:pt idx="0">
                  <c:v>correctScore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Chemistry!$W$2:$W$23</c:f>
              <c:numCache>
                <c:formatCode>General</c:formatCode>
                <c:ptCount val="22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C-4117-BA93-868D6AD1C9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5127584"/>
        <c:axId val="535129984"/>
      </c:lineChart>
      <c:catAx>
        <c:axId val="535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9984"/>
        <c:crosses val="autoZero"/>
        <c:auto val="1"/>
        <c:lblAlgn val="ctr"/>
        <c:lblOffset val="100"/>
        <c:noMultiLvlLbl val="0"/>
      </c:catAx>
      <c:valAx>
        <c:axId val="535129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51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Chemistry!$X$1</c:f>
              <c:strCache>
                <c:ptCount val="1"/>
                <c:pt idx="0">
                  <c:v>rank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Chemistry!$X$2:$X$23</c:f>
              <c:numCache>
                <c:formatCode>General</c:formatCode>
                <c:ptCount val="22"/>
                <c:pt idx="0">
                  <c:v>565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6C-4C38-9105-A45C837F19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5127584"/>
        <c:axId val="535129984"/>
      </c:lineChart>
      <c:catAx>
        <c:axId val="535127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9984"/>
        <c:crosses val="autoZero"/>
        <c:auto val="1"/>
        <c:lblAlgn val="ctr"/>
        <c:lblOffset val="100"/>
        <c:noMultiLvlLbl val="0"/>
      </c:catAx>
      <c:valAx>
        <c:axId val="5351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Chemistry!$Y$1</c:f>
              <c:strCache>
                <c:ptCount val="1"/>
                <c:pt idx="0">
                  <c:v>percentile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Chemistry!$Y$2:$Y$23</c:f>
              <c:numCache>
                <c:formatCode>General</c:formatCode>
                <c:ptCount val="22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C-4FBF-8849-66D6598899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5127584"/>
        <c:axId val="535129984"/>
      </c:lineChart>
      <c:catAx>
        <c:axId val="535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9984"/>
        <c:crosses val="autoZero"/>
        <c:auto val="1"/>
        <c:lblAlgn val="ctr"/>
        <c:lblOffset val="100"/>
        <c:noMultiLvlLbl val="0"/>
      </c:catAx>
      <c:valAx>
        <c:axId val="5351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Maths!$W$1</c:f>
              <c:strCache>
                <c:ptCount val="1"/>
                <c:pt idx="0">
                  <c:v>correctScore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Maths!$W$2:$W$30</c:f>
              <c:numCache>
                <c:formatCode>General</c:formatCode>
                <c:ptCount val="29"/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9-44A7-99CE-41EB58EF86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5127584"/>
        <c:axId val="535129984"/>
      </c:lineChart>
      <c:catAx>
        <c:axId val="535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9984"/>
        <c:crosses val="autoZero"/>
        <c:auto val="1"/>
        <c:lblAlgn val="ctr"/>
        <c:lblOffset val="100"/>
        <c:noMultiLvlLbl val="0"/>
      </c:catAx>
      <c:valAx>
        <c:axId val="535129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51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Maths!$X$1</c:f>
              <c:strCache>
                <c:ptCount val="1"/>
                <c:pt idx="0">
                  <c:v>rank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Maths!$X$2:$X$30</c:f>
              <c:numCache>
                <c:formatCode>General</c:formatCode>
                <c:ptCount val="29"/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E-42B2-BAA2-00FB5DD51F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5127584"/>
        <c:axId val="535129984"/>
      </c:lineChart>
      <c:catAx>
        <c:axId val="535127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9984"/>
        <c:crosses val="autoZero"/>
        <c:auto val="1"/>
        <c:lblAlgn val="ctr"/>
        <c:lblOffset val="100"/>
        <c:noMultiLvlLbl val="0"/>
      </c:catAx>
      <c:valAx>
        <c:axId val="5351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Maths!$Y$1</c:f>
              <c:strCache>
                <c:ptCount val="1"/>
                <c:pt idx="0">
                  <c:v>percentile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Maths!$Y$2:$Y$30</c:f>
              <c:numCache>
                <c:formatCode>General</c:formatCode>
                <c:ptCount val="29"/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F-4EAB-824E-50403BBB36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5127584"/>
        <c:axId val="535129984"/>
      </c:lineChart>
      <c:catAx>
        <c:axId val="535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9984"/>
        <c:crosses val="autoZero"/>
        <c:auto val="1"/>
        <c:lblAlgn val="ctr"/>
        <c:lblOffset val="100"/>
        <c:noMultiLvlLbl val="0"/>
      </c:catAx>
      <c:valAx>
        <c:axId val="5351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OverAllPerformanance!$W$1</c:f>
              <c:strCache>
                <c:ptCount val="1"/>
                <c:pt idx="0">
                  <c:v>correctScore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OverAllPerformanance!$W$2:$W$24</c:f>
              <c:numCache>
                <c:formatCode>General</c:formatCode>
                <c:ptCount val="23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3-417C-9944-1606B7C2A2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5127584"/>
        <c:axId val="535129984"/>
      </c:lineChart>
      <c:catAx>
        <c:axId val="535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9984"/>
        <c:crosses val="autoZero"/>
        <c:auto val="1"/>
        <c:lblAlgn val="ctr"/>
        <c:lblOffset val="100"/>
        <c:noMultiLvlLbl val="0"/>
      </c:catAx>
      <c:valAx>
        <c:axId val="535129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51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OverAllPerformanance!$X$1</c:f>
              <c:strCache>
                <c:ptCount val="1"/>
                <c:pt idx="0">
                  <c:v>rank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OverAllPerformanance!$X$2:$X$24</c:f>
              <c:numCache>
                <c:formatCode>General</c:formatCode>
                <c:ptCount val="23"/>
                <c:pt idx="0">
                  <c:v>30481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0-4987-BF01-9410177A1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127584"/>
        <c:axId val="535129984"/>
      </c:lineChart>
      <c:catAx>
        <c:axId val="535127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9984"/>
        <c:crosses val="autoZero"/>
        <c:auto val="1"/>
        <c:lblAlgn val="ctr"/>
        <c:lblOffset val="100"/>
        <c:noMultiLvlLbl val="0"/>
      </c:catAx>
      <c:valAx>
        <c:axId val="5351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OverAllPerformanance!$Y$1</c:f>
              <c:strCache>
                <c:ptCount val="1"/>
                <c:pt idx="0">
                  <c:v>percentile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OverAllPerformanance!$Y$2:$Y$24</c:f>
              <c:numCache>
                <c:formatCode>General</c:formatCode>
                <c:ptCount val="23"/>
                <c:pt idx="0">
                  <c:v>38.434991047189968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3-47BD-926A-EF1282907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127584"/>
        <c:axId val="535129984"/>
      </c:lineChart>
      <c:catAx>
        <c:axId val="535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9984"/>
        <c:crosses val="autoZero"/>
        <c:auto val="1"/>
        <c:lblAlgn val="ctr"/>
        <c:lblOffset val="100"/>
        <c:noMultiLvlLbl val="0"/>
      </c:catAx>
      <c:valAx>
        <c:axId val="5351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ExamGoal!$Q$1</c:f>
              <c:strCache>
                <c:ptCount val="1"/>
                <c:pt idx="0">
                  <c:v>positiveMarks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ExamGoal!$Q$2:$Q$20</c:f>
              <c:numCache>
                <c:formatCode>General</c:formatCode>
                <c:ptCount val="1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9-4BE3-9268-AFA4B1AE1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08671"/>
        <c:axId val="1784209151"/>
      </c:lineChart>
      <c:catAx>
        <c:axId val="1784208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09151"/>
        <c:crosses val="autoZero"/>
        <c:auto val="1"/>
        <c:lblAlgn val="ctr"/>
        <c:lblOffset val="100"/>
        <c:noMultiLvlLbl val="0"/>
      </c:catAx>
      <c:valAx>
        <c:axId val="178420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0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ExamGoal!$R$1</c:f>
              <c:strCache>
                <c:ptCount val="1"/>
                <c:pt idx="0">
                  <c:v>negativeMarks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ExamGoal!$R$2:$R$20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2-4749-B44C-79425279A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208671"/>
        <c:axId val="1784209151"/>
      </c:lineChart>
      <c:catAx>
        <c:axId val="1784208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09151"/>
        <c:crosses val="autoZero"/>
        <c:auto val="1"/>
        <c:lblAlgn val="ctr"/>
        <c:lblOffset val="100"/>
        <c:noMultiLvlLbl val="0"/>
      </c:catAx>
      <c:valAx>
        <c:axId val="178420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0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92530</xdr:colOff>
      <xdr:row>0</xdr:row>
      <xdr:rowOff>168728</xdr:rowOff>
    </xdr:from>
    <xdr:to>
      <xdr:col>33</xdr:col>
      <xdr:colOff>1090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A1A09-7A88-09CF-D507-C02B1B182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0</xdr:row>
      <xdr:rowOff>186690</xdr:rowOff>
    </xdr:from>
    <xdr:to>
      <xdr:col>40</xdr:col>
      <xdr:colOff>129540</xdr:colOff>
      <xdr:row>23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C02318-FE16-92DE-743C-EE8B509F6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251460</xdr:colOff>
      <xdr:row>0</xdr:row>
      <xdr:rowOff>171450</xdr:rowOff>
    </xdr:from>
    <xdr:to>
      <xdr:col>47</xdr:col>
      <xdr:colOff>556260</xdr:colOff>
      <xdr:row>23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04E43C-561A-BC19-B031-E425F3816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101202</xdr:colOff>
      <xdr:row>0</xdr:row>
      <xdr:rowOff>51195</xdr:rowOff>
    </xdr:from>
    <xdr:to>
      <xdr:col>34</xdr:col>
      <xdr:colOff>273843</xdr:colOff>
      <xdr:row>22</xdr:row>
      <xdr:rowOff>119061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0455C-67A4-4B8F-B9C9-172A7C9B4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452438</xdr:colOff>
      <xdr:row>0</xdr:row>
      <xdr:rowOff>59532</xdr:rowOff>
    </xdr:from>
    <xdr:to>
      <xdr:col>44</xdr:col>
      <xdr:colOff>17859</xdr:colOff>
      <xdr:row>22</xdr:row>
      <xdr:rowOff>127398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57AFB6-3E69-4A4E-9617-A6F779B26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166688</xdr:colOff>
      <xdr:row>0</xdr:row>
      <xdr:rowOff>71438</xdr:rowOff>
    </xdr:from>
    <xdr:to>
      <xdr:col>53</xdr:col>
      <xdr:colOff>339328</xdr:colOff>
      <xdr:row>22</xdr:row>
      <xdr:rowOff>139304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B5C601-DC4B-4022-9C2B-3D50AF591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101202</xdr:colOff>
      <xdr:row>0</xdr:row>
      <xdr:rowOff>51195</xdr:rowOff>
    </xdr:from>
    <xdr:to>
      <xdr:col>34</xdr:col>
      <xdr:colOff>273843</xdr:colOff>
      <xdr:row>29</xdr:row>
      <xdr:rowOff>119061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5A7DB-DF92-4B9D-BD2B-10299F4B4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452438</xdr:colOff>
      <xdr:row>0</xdr:row>
      <xdr:rowOff>59532</xdr:rowOff>
    </xdr:from>
    <xdr:to>
      <xdr:col>44</xdr:col>
      <xdr:colOff>17859</xdr:colOff>
      <xdr:row>29</xdr:row>
      <xdr:rowOff>127398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65AE7B-FCDD-4E9E-9E95-F485DEC3A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166688</xdr:colOff>
      <xdr:row>0</xdr:row>
      <xdr:rowOff>71438</xdr:rowOff>
    </xdr:from>
    <xdr:to>
      <xdr:col>53</xdr:col>
      <xdr:colOff>339328</xdr:colOff>
      <xdr:row>29</xdr:row>
      <xdr:rowOff>139304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C3D68D-AB52-4516-AB0D-7618EA53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101202</xdr:colOff>
      <xdr:row>0</xdr:row>
      <xdr:rowOff>51195</xdr:rowOff>
    </xdr:from>
    <xdr:to>
      <xdr:col>34</xdr:col>
      <xdr:colOff>273843</xdr:colOff>
      <xdr:row>23</xdr:row>
      <xdr:rowOff>119061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51EE0-2DFA-47F8-8952-A1C84B1F7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452438</xdr:colOff>
      <xdr:row>0</xdr:row>
      <xdr:rowOff>59532</xdr:rowOff>
    </xdr:from>
    <xdr:to>
      <xdr:col>44</xdr:col>
      <xdr:colOff>17859</xdr:colOff>
      <xdr:row>23</xdr:row>
      <xdr:rowOff>127398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94599D-6842-4517-A3CF-29B01D96E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166688</xdr:colOff>
      <xdr:row>0</xdr:row>
      <xdr:rowOff>71438</xdr:rowOff>
    </xdr:from>
    <xdr:to>
      <xdr:col>53</xdr:col>
      <xdr:colOff>339328</xdr:colOff>
      <xdr:row>23</xdr:row>
      <xdr:rowOff>139304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846716-0598-4432-AB57-217C32097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314324</xdr:colOff>
      <xdr:row>0</xdr:row>
      <xdr:rowOff>23812</xdr:rowOff>
    </xdr:from>
    <xdr:to>
      <xdr:col>27</xdr:col>
      <xdr:colOff>152399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0A471-420E-493C-93BB-AC53F36C8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0</xdr:row>
      <xdr:rowOff>0</xdr:rowOff>
    </xdr:from>
    <xdr:to>
      <xdr:col>37</xdr:col>
      <xdr:colOff>447675</xdr:colOff>
      <xdr:row>19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C61F73-DA75-40DB-8C94-D7D07C09C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7FA1-7EAD-40C0-A05C-E4096304D7BB}">
  <sheetPr>
    <pageSetUpPr fitToPage="1"/>
  </sheetPr>
  <dimension ref="A1:AG24"/>
  <sheetViews>
    <sheetView tabSelected="1" zoomScaleNormal="100" workbookViewId="0">
      <selection activeCell="B13" sqref="B13"/>
    </sheetView>
  </sheetViews>
  <sheetFormatPr defaultColWidth="16.77734375" defaultRowHeight="14.4" x14ac:dyDescent="0.3"/>
  <cols>
    <col min="1" max="1" width="10.33203125" bestFit="1" customWidth="1"/>
    <col min="2" max="2" width="18.5546875" bestFit="1" customWidth="1"/>
    <col min="3" max="3" width="11.6640625" bestFit="1" customWidth="1"/>
    <col min="4" max="4" width="11.33203125" bestFit="1" customWidth="1"/>
    <col min="5" max="5" width="11.5546875" bestFit="1" customWidth="1"/>
    <col min="6" max="6" width="15.21875" bestFit="1" customWidth="1"/>
    <col min="7" max="7" width="22.44140625" bestFit="1" customWidth="1"/>
    <col min="8" max="8" width="25.21875" bestFit="1" customWidth="1"/>
    <col min="9" max="9" width="19" bestFit="1" customWidth="1"/>
    <col min="10" max="10" width="21.44140625" bestFit="1" customWidth="1"/>
    <col min="11" max="11" width="10.33203125" bestFit="1" customWidth="1"/>
    <col min="12" max="12" width="12.109375" bestFit="1" customWidth="1"/>
    <col min="13" max="13" width="14.33203125" bestFit="1" customWidth="1"/>
    <col min="14" max="14" width="16.44140625" bestFit="1" customWidth="1"/>
    <col min="15" max="15" width="20.5546875" bestFit="1" customWidth="1"/>
    <col min="16" max="16" width="5.44140625" bestFit="1" customWidth="1"/>
    <col min="17" max="18" width="12" bestFit="1" customWidth="1"/>
    <col min="22" max="22" width="3" bestFit="1" customWidth="1"/>
    <col min="23" max="23" width="14.33203125" bestFit="1" customWidth="1"/>
    <col min="24" max="25" width="12" bestFit="1" customWidth="1"/>
    <col min="27" max="27" width="1.6640625" bestFit="1" customWidth="1"/>
    <col min="28" max="28" width="1.33203125" bestFit="1" customWidth="1"/>
    <col min="33" max="33" width="1.33203125" bestFit="1" customWidth="1"/>
  </cols>
  <sheetData>
    <row r="1" spans="1:33" s="1" customFormat="1" ht="18" x14ac:dyDescent="0.3">
      <c r="A1" s="2" t="s">
        <v>16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19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20</v>
      </c>
      <c r="O1" s="2" t="s">
        <v>12</v>
      </c>
      <c r="P1" s="2" t="s">
        <v>13</v>
      </c>
      <c r="Q1" s="2" t="s">
        <v>14</v>
      </c>
      <c r="W1" s="2" t="s">
        <v>10</v>
      </c>
      <c r="X1" s="2" t="s">
        <v>13</v>
      </c>
      <c r="Y1" s="2" t="s">
        <v>14</v>
      </c>
    </row>
    <row r="2" spans="1:33" x14ac:dyDescent="0.3">
      <c r="A2" s="5" t="s">
        <v>21</v>
      </c>
      <c r="B2" s="3" t="s">
        <v>22</v>
      </c>
      <c r="C2" s="3">
        <v>32</v>
      </c>
      <c r="D2" s="3">
        <v>14</v>
      </c>
      <c r="E2" s="3">
        <v>721</v>
      </c>
      <c r="F2" s="3">
        <v>8</v>
      </c>
      <c r="G2" s="3">
        <v>6</v>
      </c>
      <c r="H2" s="3">
        <v>2</v>
      </c>
      <c r="I2" s="3">
        <v>4</v>
      </c>
      <c r="J2" s="3">
        <v>2</v>
      </c>
      <c r="K2" s="3">
        <v>66.67</v>
      </c>
      <c r="L2" s="3">
        <v>75</v>
      </c>
      <c r="M2" s="3">
        <v>16</v>
      </c>
      <c r="N2" s="3">
        <v>-2</v>
      </c>
      <c r="O2" s="4">
        <v>8</v>
      </c>
      <c r="P2" s="4">
        <v>8889</v>
      </c>
      <c r="Q2" s="3">
        <v>31.703055507422167</v>
      </c>
      <c r="V2" s="3">
        <f t="shared" ref="V2:V24" si="0">L2</f>
        <v>75</v>
      </c>
      <c r="W2" s="3">
        <f t="shared" ref="W2:W24" si="1">M2</f>
        <v>16</v>
      </c>
      <c r="X2" s="4">
        <f>P2</f>
        <v>8889</v>
      </c>
      <c r="Y2">
        <f>Q2</f>
        <v>31.703055507422167</v>
      </c>
    </row>
    <row r="3" spans="1:33" x14ac:dyDescent="0.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3"/>
      <c r="V3" s="3">
        <f t="shared" si="0"/>
        <v>0</v>
      </c>
      <c r="W3" s="3">
        <f t="shared" si="1"/>
        <v>0</v>
      </c>
      <c r="X3" s="4">
        <f t="shared" ref="X3:X24" si="2">P3</f>
        <v>0</v>
      </c>
      <c r="Y3">
        <f t="shared" ref="Y3:Y24" si="3">Q3</f>
        <v>0</v>
      </c>
    </row>
    <row r="4" spans="1:33" x14ac:dyDescent="0.3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3"/>
      <c r="V4" s="3">
        <f t="shared" si="0"/>
        <v>0</v>
      </c>
      <c r="W4" s="3">
        <f t="shared" si="1"/>
        <v>0</v>
      </c>
      <c r="X4" s="4">
        <f t="shared" si="2"/>
        <v>0</v>
      </c>
      <c r="Y4">
        <f t="shared" si="3"/>
        <v>0</v>
      </c>
    </row>
    <row r="5" spans="1:33" x14ac:dyDescent="0.3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3"/>
      <c r="V5" s="3">
        <f t="shared" si="0"/>
        <v>0</v>
      </c>
      <c r="W5" s="3">
        <f t="shared" si="1"/>
        <v>0</v>
      </c>
      <c r="X5" s="4">
        <f t="shared" si="2"/>
        <v>0</v>
      </c>
      <c r="Y5">
        <f t="shared" si="3"/>
        <v>0</v>
      </c>
    </row>
    <row r="6" spans="1:33" x14ac:dyDescent="0.3">
      <c r="A6" s="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3"/>
      <c r="V6" s="3">
        <f t="shared" si="0"/>
        <v>0</v>
      </c>
      <c r="W6" s="3">
        <f t="shared" si="1"/>
        <v>0</v>
      </c>
      <c r="X6" s="4">
        <f t="shared" si="2"/>
        <v>0</v>
      </c>
      <c r="Y6">
        <f t="shared" si="3"/>
        <v>0</v>
      </c>
    </row>
    <row r="7" spans="1:33" x14ac:dyDescent="0.3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4"/>
      <c r="Q7" s="3"/>
      <c r="V7" s="3">
        <f t="shared" si="0"/>
        <v>0</v>
      </c>
      <c r="W7" s="3">
        <f t="shared" si="1"/>
        <v>0</v>
      </c>
      <c r="X7" s="4">
        <f t="shared" si="2"/>
        <v>0</v>
      </c>
      <c r="Y7">
        <f t="shared" si="3"/>
        <v>0</v>
      </c>
    </row>
    <row r="8" spans="1:33" x14ac:dyDescent="0.3">
      <c r="A8" s="5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4"/>
      <c r="Q8" s="3"/>
      <c r="V8" s="3">
        <f t="shared" si="0"/>
        <v>0</v>
      </c>
      <c r="W8" s="3">
        <f t="shared" si="1"/>
        <v>0</v>
      </c>
      <c r="X8" s="4">
        <f t="shared" si="2"/>
        <v>0</v>
      </c>
      <c r="Y8">
        <f t="shared" si="3"/>
        <v>0</v>
      </c>
    </row>
    <row r="9" spans="1:33" x14ac:dyDescent="0.3">
      <c r="A9" s="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4"/>
      <c r="Q9" s="3"/>
      <c r="V9" s="3">
        <f t="shared" si="0"/>
        <v>0</v>
      </c>
      <c r="W9" s="3">
        <f t="shared" si="1"/>
        <v>0</v>
      </c>
      <c r="X9" s="4">
        <f t="shared" si="2"/>
        <v>0</v>
      </c>
      <c r="Y9">
        <f t="shared" si="3"/>
        <v>0</v>
      </c>
    </row>
    <row r="10" spans="1:33" x14ac:dyDescent="0.3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4"/>
      <c r="Q10" s="3"/>
      <c r="V10" s="3">
        <f t="shared" si="0"/>
        <v>0</v>
      </c>
      <c r="W10" s="3">
        <f t="shared" si="1"/>
        <v>0</v>
      </c>
      <c r="X10" s="4">
        <f t="shared" si="2"/>
        <v>0</v>
      </c>
      <c r="Y10">
        <f t="shared" si="3"/>
        <v>0</v>
      </c>
    </row>
    <row r="11" spans="1:33" x14ac:dyDescent="0.3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  <c r="P11" s="4"/>
      <c r="Q11" s="3"/>
      <c r="V11" s="3">
        <f t="shared" si="0"/>
        <v>0</v>
      </c>
      <c r="W11" s="3">
        <f t="shared" si="1"/>
        <v>0</v>
      </c>
      <c r="X11" s="4">
        <f t="shared" si="2"/>
        <v>0</v>
      </c>
      <c r="Y11">
        <f t="shared" si="3"/>
        <v>0</v>
      </c>
      <c r="AG11" t="s">
        <v>17</v>
      </c>
    </row>
    <row r="12" spans="1:33" x14ac:dyDescent="0.3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  <c r="P12" s="4"/>
      <c r="Q12" s="3"/>
      <c r="V12" s="3">
        <f t="shared" si="0"/>
        <v>0</v>
      </c>
      <c r="W12" s="3">
        <f t="shared" si="1"/>
        <v>0</v>
      </c>
      <c r="X12" s="4">
        <f t="shared" si="2"/>
        <v>0</v>
      </c>
      <c r="Y12">
        <f t="shared" si="3"/>
        <v>0</v>
      </c>
    </row>
    <row r="13" spans="1:33" x14ac:dyDescent="0.3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4"/>
      <c r="Q13" s="3"/>
      <c r="V13" s="3">
        <f t="shared" si="0"/>
        <v>0</v>
      </c>
      <c r="W13" s="3">
        <f t="shared" si="1"/>
        <v>0</v>
      </c>
      <c r="X13" s="4">
        <f t="shared" si="2"/>
        <v>0</v>
      </c>
      <c r="Y13">
        <f t="shared" si="3"/>
        <v>0</v>
      </c>
    </row>
    <row r="14" spans="1:33" x14ac:dyDescent="0.3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  <c r="P14" s="4"/>
      <c r="Q14" s="3"/>
      <c r="V14" s="3">
        <f t="shared" si="0"/>
        <v>0</v>
      </c>
      <c r="W14" s="3">
        <f t="shared" si="1"/>
        <v>0</v>
      </c>
      <c r="X14" s="4">
        <f t="shared" si="2"/>
        <v>0</v>
      </c>
      <c r="Y14">
        <f t="shared" si="3"/>
        <v>0</v>
      </c>
    </row>
    <row r="15" spans="1:33" x14ac:dyDescent="0.3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/>
      <c r="P15" s="4"/>
      <c r="Q15" s="3"/>
      <c r="V15" s="3">
        <f t="shared" si="0"/>
        <v>0</v>
      </c>
      <c r="W15" s="3">
        <f t="shared" si="1"/>
        <v>0</v>
      </c>
      <c r="X15" s="4">
        <f t="shared" si="2"/>
        <v>0</v>
      </c>
      <c r="Y15">
        <f t="shared" si="3"/>
        <v>0</v>
      </c>
    </row>
    <row r="16" spans="1:33" x14ac:dyDescent="0.3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4"/>
      <c r="Q16" s="3"/>
      <c r="V16" s="3">
        <f t="shared" si="0"/>
        <v>0</v>
      </c>
      <c r="W16" s="3">
        <f t="shared" si="1"/>
        <v>0</v>
      </c>
      <c r="X16" s="4">
        <f t="shared" si="2"/>
        <v>0</v>
      </c>
      <c r="Y16">
        <f t="shared" si="3"/>
        <v>0</v>
      </c>
    </row>
    <row r="17" spans="1:28" x14ac:dyDescent="0.3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4"/>
      <c r="Q17" s="3"/>
      <c r="V17" s="3">
        <f t="shared" si="0"/>
        <v>0</v>
      </c>
      <c r="W17" s="3">
        <f t="shared" si="1"/>
        <v>0</v>
      </c>
      <c r="X17" s="4">
        <f t="shared" si="2"/>
        <v>0</v>
      </c>
      <c r="Y17">
        <f t="shared" si="3"/>
        <v>0</v>
      </c>
    </row>
    <row r="18" spans="1:28" x14ac:dyDescent="0.3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4"/>
      <c r="Q18" s="3"/>
      <c r="V18" s="3">
        <f t="shared" si="0"/>
        <v>0</v>
      </c>
      <c r="W18" s="3">
        <f t="shared" si="1"/>
        <v>0</v>
      </c>
      <c r="X18" s="4">
        <f t="shared" si="2"/>
        <v>0</v>
      </c>
      <c r="Y18">
        <f t="shared" si="3"/>
        <v>0</v>
      </c>
    </row>
    <row r="19" spans="1:28" x14ac:dyDescent="0.3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  <c r="P19" s="4"/>
      <c r="Q19" s="3"/>
      <c r="V19" s="3">
        <f t="shared" si="0"/>
        <v>0</v>
      </c>
      <c r="W19" s="3">
        <f t="shared" si="1"/>
        <v>0</v>
      </c>
      <c r="X19" s="4">
        <f t="shared" si="2"/>
        <v>0</v>
      </c>
      <c r="Y19">
        <f t="shared" si="3"/>
        <v>0</v>
      </c>
    </row>
    <row r="20" spans="1:28" x14ac:dyDescent="0.3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4"/>
      <c r="Q20" s="3"/>
      <c r="V20" s="3">
        <f t="shared" si="0"/>
        <v>0</v>
      </c>
      <c r="W20" s="3">
        <f t="shared" si="1"/>
        <v>0</v>
      </c>
      <c r="X20" s="4">
        <f t="shared" si="2"/>
        <v>0</v>
      </c>
      <c r="Y20">
        <f t="shared" si="3"/>
        <v>0</v>
      </c>
    </row>
    <row r="21" spans="1:28" x14ac:dyDescent="0.3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  <c r="P21" s="4"/>
      <c r="Q21" s="3"/>
      <c r="V21" s="3">
        <f t="shared" si="0"/>
        <v>0</v>
      </c>
      <c r="W21" s="3">
        <f t="shared" si="1"/>
        <v>0</v>
      </c>
      <c r="X21" s="4">
        <f t="shared" si="2"/>
        <v>0</v>
      </c>
      <c r="Y21">
        <f t="shared" si="3"/>
        <v>0</v>
      </c>
      <c r="AA21" t="s">
        <v>18</v>
      </c>
      <c r="AB21" t="s">
        <v>17</v>
      </c>
    </row>
    <row r="22" spans="1:28" x14ac:dyDescent="0.3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4"/>
      <c r="Q22" s="3"/>
      <c r="V22" s="3">
        <f t="shared" si="0"/>
        <v>0</v>
      </c>
      <c r="W22" s="3">
        <f t="shared" si="1"/>
        <v>0</v>
      </c>
      <c r="X22" s="4">
        <f t="shared" si="2"/>
        <v>0</v>
      </c>
      <c r="Y22">
        <f t="shared" si="3"/>
        <v>0</v>
      </c>
    </row>
    <row r="23" spans="1:28" x14ac:dyDescent="0.3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  <c r="P23" s="4"/>
      <c r="Q23" s="3"/>
      <c r="V23" s="3">
        <f t="shared" si="0"/>
        <v>0</v>
      </c>
      <c r="W23" s="3">
        <f t="shared" si="1"/>
        <v>0</v>
      </c>
      <c r="X23" s="4">
        <f t="shared" si="2"/>
        <v>0</v>
      </c>
      <c r="Y23">
        <f t="shared" si="3"/>
        <v>0</v>
      </c>
    </row>
    <row r="24" spans="1:28" x14ac:dyDescent="0.3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4"/>
      <c r="Q24" s="3"/>
      <c r="V24" s="3">
        <f t="shared" si="0"/>
        <v>0</v>
      </c>
      <c r="W24" s="3">
        <f t="shared" si="1"/>
        <v>0</v>
      </c>
      <c r="X24" s="4">
        <f t="shared" si="2"/>
        <v>0</v>
      </c>
      <c r="Y24">
        <f t="shared" si="3"/>
        <v>0</v>
      </c>
    </row>
  </sheetData>
  <pageMargins left="0.7" right="0.7" top="0.75" bottom="0.75" header="0.3" footer="0.3"/>
  <pageSetup paperSize="9" scale="2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206E-B683-4C2C-BC31-F00A6C93CD30}">
  <sheetPr>
    <pageSetUpPr fitToPage="1"/>
  </sheetPr>
  <dimension ref="A1:Y23"/>
  <sheetViews>
    <sheetView topLeftCell="I1" zoomScale="80" zoomScaleNormal="80" workbookViewId="0">
      <selection activeCell="I3" sqref="A3:XFD4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12.33203125" bestFit="1" customWidth="1"/>
    <col min="4" max="4" width="11.88671875" bestFit="1" customWidth="1"/>
    <col min="5" max="5" width="12.21875" bestFit="1" customWidth="1"/>
    <col min="6" max="6" width="16.109375" bestFit="1" customWidth="1"/>
    <col min="7" max="7" width="23.5546875" bestFit="1" customWidth="1"/>
    <col min="8" max="8" width="26.6640625" bestFit="1" customWidth="1"/>
    <col min="9" max="9" width="20" bestFit="1" customWidth="1"/>
    <col min="10" max="10" width="22.44140625" bestFit="1" customWidth="1"/>
    <col min="11" max="11" width="10.77734375" bestFit="1" customWidth="1"/>
    <col min="12" max="12" width="12.77734375" bestFit="1" customWidth="1"/>
    <col min="13" max="13" width="15.109375" bestFit="1" customWidth="1"/>
    <col min="14" max="14" width="17.33203125" bestFit="1" customWidth="1"/>
    <col min="15" max="15" width="21.77734375" bestFit="1" customWidth="1"/>
    <col min="16" max="16" width="6" bestFit="1" customWidth="1"/>
    <col min="17" max="18" width="11.88671875" bestFit="1" customWidth="1"/>
    <col min="23" max="23" width="15.109375" bestFit="1" customWidth="1"/>
    <col min="24" max="24" width="6" bestFit="1" customWidth="1"/>
    <col min="25" max="25" width="11.88671875" bestFit="1" customWidth="1"/>
  </cols>
  <sheetData>
    <row r="1" spans="1:25" s="1" customFormat="1" ht="18" x14ac:dyDescent="0.3">
      <c r="A1" s="2" t="s">
        <v>16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19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20</v>
      </c>
      <c r="O1" s="2" t="s">
        <v>12</v>
      </c>
      <c r="P1" s="2" t="s">
        <v>13</v>
      </c>
      <c r="Q1" s="2" t="s">
        <v>14</v>
      </c>
      <c r="R1" s="2" t="s">
        <v>14</v>
      </c>
      <c r="W1" s="2" t="s">
        <v>10</v>
      </c>
      <c r="X1" s="2" t="s">
        <v>13</v>
      </c>
      <c r="Y1" s="2" t="s">
        <v>14</v>
      </c>
    </row>
    <row r="2" spans="1:25" x14ac:dyDescent="0.3">
      <c r="A2" s="3" t="s">
        <v>21</v>
      </c>
      <c r="B2" s="3" t="s">
        <v>22</v>
      </c>
      <c r="C2" s="3">
        <v>32</v>
      </c>
      <c r="D2" s="3">
        <v>32</v>
      </c>
      <c r="E2" s="3">
        <v>611</v>
      </c>
      <c r="F2" s="3">
        <v>8</v>
      </c>
      <c r="G2" s="3">
        <v>8</v>
      </c>
      <c r="H2" s="3">
        <v>0</v>
      </c>
      <c r="I2" s="3">
        <v>8</v>
      </c>
      <c r="J2" s="3">
        <v>0</v>
      </c>
      <c r="K2" s="3">
        <v>100</v>
      </c>
      <c r="L2" s="3">
        <v>100</v>
      </c>
      <c r="M2" s="3">
        <v>32</v>
      </c>
      <c r="N2" s="3">
        <v>0</v>
      </c>
      <c r="O2" s="3">
        <v>0</v>
      </c>
      <c r="P2" s="4">
        <v>565</v>
      </c>
      <c r="Q2" s="3">
        <v>100</v>
      </c>
      <c r="W2" s="3">
        <f t="shared" ref="W2:W23" si="0">M2</f>
        <v>32</v>
      </c>
      <c r="X2" s="3">
        <f t="shared" ref="X2:Y23" si="1">P2</f>
        <v>565</v>
      </c>
      <c r="Y2" s="3">
        <f t="shared" si="1"/>
        <v>100</v>
      </c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3"/>
      <c r="W3" s="3">
        <f t="shared" si="0"/>
        <v>0</v>
      </c>
      <c r="X3" s="3">
        <f t="shared" si="1"/>
        <v>0</v>
      </c>
      <c r="Y3" s="3">
        <f t="shared" si="1"/>
        <v>0</v>
      </c>
    </row>
    <row r="4" spans="1:25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3"/>
      <c r="W4" s="3">
        <f t="shared" si="0"/>
        <v>0</v>
      </c>
      <c r="X4" s="3">
        <f t="shared" si="1"/>
        <v>0</v>
      </c>
      <c r="Y4" s="3">
        <f t="shared" si="1"/>
        <v>0</v>
      </c>
    </row>
    <row r="5" spans="1:2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3"/>
      <c r="W5" s="3">
        <f t="shared" si="0"/>
        <v>0</v>
      </c>
      <c r="X5" s="3">
        <f t="shared" si="1"/>
        <v>0</v>
      </c>
      <c r="Y5" s="3">
        <f t="shared" si="1"/>
        <v>0</v>
      </c>
    </row>
    <row r="6" spans="1:2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3"/>
      <c r="W6" s="3">
        <f t="shared" si="0"/>
        <v>0</v>
      </c>
      <c r="X6" s="3">
        <f t="shared" si="1"/>
        <v>0</v>
      </c>
      <c r="Y6" s="3">
        <f t="shared" si="1"/>
        <v>0</v>
      </c>
    </row>
    <row r="7" spans="1:2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3"/>
      <c r="W7" s="3">
        <f t="shared" si="0"/>
        <v>0</v>
      </c>
      <c r="X7" s="3">
        <f t="shared" si="1"/>
        <v>0</v>
      </c>
      <c r="Y7" s="3">
        <f t="shared" si="1"/>
        <v>0</v>
      </c>
    </row>
    <row r="8" spans="1:2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3"/>
      <c r="W8" s="3">
        <f t="shared" si="0"/>
        <v>0</v>
      </c>
      <c r="X8" s="3">
        <f t="shared" si="1"/>
        <v>0</v>
      </c>
      <c r="Y8" s="3">
        <f t="shared" si="1"/>
        <v>0</v>
      </c>
    </row>
    <row r="9" spans="1:25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3"/>
      <c r="W9" s="3">
        <f t="shared" si="0"/>
        <v>0</v>
      </c>
      <c r="X9" s="3">
        <f t="shared" si="1"/>
        <v>0</v>
      </c>
      <c r="Y9" s="3">
        <f t="shared" si="1"/>
        <v>0</v>
      </c>
    </row>
    <row r="10" spans="1:25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3"/>
      <c r="W10" s="3">
        <f t="shared" si="0"/>
        <v>0</v>
      </c>
      <c r="X10" s="3">
        <f t="shared" si="1"/>
        <v>0</v>
      </c>
      <c r="Y10" s="3">
        <f t="shared" si="1"/>
        <v>0</v>
      </c>
    </row>
    <row r="11" spans="1:2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3"/>
      <c r="W11" s="3">
        <f t="shared" si="0"/>
        <v>0</v>
      </c>
      <c r="X11" s="3">
        <f t="shared" si="1"/>
        <v>0</v>
      </c>
      <c r="Y11" s="3">
        <f t="shared" si="1"/>
        <v>0</v>
      </c>
    </row>
    <row r="12" spans="1:2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3"/>
      <c r="W12" s="3">
        <f t="shared" si="0"/>
        <v>0</v>
      </c>
      <c r="X12" s="3">
        <f t="shared" si="1"/>
        <v>0</v>
      </c>
      <c r="Y12" s="3">
        <f t="shared" si="1"/>
        <v>0</v>
      </c>
    </row>
    <row r="13" spans="1:2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3"/>
      <c r="W13" s="3">
        <f t="shared" si="0"/>
        <v>0</v>
      </c>
      <c r="X13" s="3">
        <f t="shared" si="1"/>
        <v>0</v>
      </c>
      <c r="Y13" s="3">
        <f t="shared" si="1"/>
        <v>0</v>
      </c>
    </row>
    <row r="14" spans="1:2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3"/>
      <c r="W14" s="3">
        <f t="shared" si="0"/>
        <v>0</v>
      </c>
      <c r="X14" s="3">
        <f t="shared" si="1"/>
        <v>0</v>
      </c>
      <c r="Y14" s="3">
        <f t="shared" si="1"/>
        <v>0</v>
      </c>
    </row>
    <row r="15" spans="1:2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3"/>
      <c r="W15" s="3">
        <f t="shared" si="0"/>
        <v>0</v>
      </c>
      <c r="X15" s="3">
        <f t="shared" si="1"/>
        <v>0</v>
      </c>
      <c r="Y15" s="3">
        <f t="shared" si="1"/>
        <v>0</v>
      </c>
    </row>
    <row r="16" spans="1:25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3"/>
      <c r="W16" s="3">
        <f t="shared" si="0"/>
        <v>0</v>
      </c>
      <c r="X16" s="3">
        <f t="shared" si="1"/>
        <v>0</v>
      </c>
      <c r="Y16" s="3">
        <f t="shared" si="1"/>
        <v>0</v>
      </c>
    </row>
    <row r="17" spans="1:2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3"/>
      <c r="W17" s="3">
        <f t="shared" si="0"/>
        <v>0</v>
      </c>
      <c r="X17" s="3">
        <f t="shared" si="1"/>
        <v>0</v>
      </c>
      <c r="Y17" s="3">
        <f t="shared" si="1"/>
        <v>0</v>
      </c>
    </row>
    <row r="18" spans="1:2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3"/>
      <c r="W18" s="3">
        <f t="shared" si="0"/>
        <v>0</v>
      </c>
      <c r="X18" s="3">
        <f t="shared" si="1"/>
        <v>0</v>
      </c>
      <c r="Y18" s="3">
        <f t="shared" si="1"/>
        <v>0</v>
      </c>
    </row>
    <row r="19" spans="1:2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3"/>
      <c r="W19" s="3">
        <f t="shared" si="0"/>
        <v>0</v>
      </c>
      <c r="X19" s="3">
        <f t="shared" si="1"/>
        <v>0</v>
      </c>
      <c r="Y19" s="3">
        <f t="shared" si="1"/>
        <v>0</v>
      </c>
    </row>
    <row r="20" spans="1:2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3"/>
      <c r="W20" s="3">
        <f t="shared" si="0"/>
        <v>0</v>
      </c>
      <c r="X20" s="3">
        <f t="shared" si="1"/>
        <v>0</v>
      </c>
      <c r="Y20" s="3">
        <f t="shared" si="1"/>
        <v>0</v>
      </c>
    </row>
    <row r="21" spans="1:25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3"/>
      <c r="W21" s="3">
        <f t="shared" si="0"/>
        <v>0</v>
      </c>
      <c r="X21" s="3">
        <f t="shared" si="1"/>
        <v>0</v>
      </c>
      <c r="Y21" s="3">
        <f t="shared" si="1"/>
        <v>0</v>
      </c>
    </row>
    <row r="22" spans="1:25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3"/>
      <c r="W22" s="3">
        <f t="shared" si="0"/>
        <v>0</v>
      </c>
      <c r="X22" s="3">
        <f t="shared" si="1"/>
        <v>0</v>
      </c>
      <c r="Y22" s="3">
        <f t="shared" si="1"/>
        <v>0</v>
      </c>
    </row>
    <row r="23" spans="1:25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3"/>
      <c r="W23" s="3">
        <f t="shared" si="0"/>
        <v>0</v>
      </c>
      <c r="X23" s="3">
        <f t="shared" si="1"/>
        <v>0</v>
      </c>
      <c r="Y23" s="3">
        <f t="shared" si="1"/>
        <v>0</v>
      </c>
    </row>
  </sheetData>
  <pageMargins left="0.7" right="0.7" top="0.75" bottom="0.75" header="0.3" footer="0.3"/>
  <pageSetup paperSize="9" scale="2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07EA-DFD5-42C7-AE90-6477CC62EB29}">
  <sheetPr>
    <pageSetUpPr fitToPage="1"/>
  </sheetPr>
  <dimension ref="A1:Y30"/>
  <sheetViews>
    <sheetView topLeftCell="I1" zoomScale="80" zoomScaleNormal="80" workbookViewId="0">
      <selection activeCell="I3" sqref="A3:XFD4"/>
    </sheetView>
  </sheetViews>
  <sheetFormatPr defaultRowHeight="14.4" x14ac:dyDescent="0.3"/>
  <cols>
    <col min="1" max="1" width="32.5546875" customWidth="1"/>
    <col min="2" max="2" width="19.33203125" bestFit="1" customWidth="1"/>
    <col min="3" max="3" width="12.33203125" bestFit="1" customWidth="1"/>
    <col min="4" max="4" width="17.88671875" customWidth="1"/>
    <col min="5" max="5" width="12.5546875" bestFit="1" customWidth="1"/>
    <col min="6" max="6" width="17.88671875" bestFit="1" customWidth="1"/>
    <col min="7" max="7" width="24.33203125" bestFit="1" customWidth="1"/>
    <col min="8" max="8" width="27.44140625" bestFit="1" customWidth="1"/>
    <col min="9" max="9" width="20.5546875" bestFit="1" customWidth="1"/>
    <col min="10" max="10" width="23.109375" bestFit="1" customWidth="1"/>
    <col min="11" max="11" width="11.109375" bestFit="1" customWidth="1"/>
    <col min="12" max="12" width="13.109375" bestFit="1" customWidth="1"/>
    <col min="13" max="13" width="15.5546875" bestFit="1" customWidth="1"/>
    <col min="14" max="14" width="18.109375" bestFit="1" customWidth="1"/>
    <col min="15" max="15" width="22.44140625" bestFit="1" customWidth="1"/>
    <col min="16" max="16" width="10.5546875" bestFit="1" customWidth="1"/>
    <col min="17" max="17" width="12.33203125" bestFit="1" customWidth="1"/>
    <col min="23" max="25" width="17.44140625" customWidth="1"/>
  </cols>
  <sheetData>
    <row r="1" spans="1:25" s="1" customFormat="1" ht="18" x14ac:dyDescent="0.3">
      <c r="A1" s="2" t="s">
        <v>16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19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20</v>
      </c>
      <c r="O1" s="2" t="s">
        <v>12</v>
      </c>
      <c r="P1" s="2" t="s">
        <v>13</v>
      </c>
      <c r="Q1" s="2" t="s">
        <v>14</v>
      </c>
      <c r="W1" s="2" t="s">
        <v>10</v>
      </c>
      <c r="X1" s="2" t="s">
        <v>13</v>
      </c>
      <c r="Y1" s="2" t="s">
        <v>14</v>
      </c>
    </row>
    <row r="2" spans="1:25" x14ac:dyDescent="0.3">
      <c r="A2" s="6" t="s">
        <v>21</v>
      </c>
      <c r="B2" s="3" t="s">
        <v>22</v>
      </c>
      <c r="C2" s="3">
        <v>32</v>
      </c>
      <c r="D2" s="3">
        <v>5</v>
      </c>
      <c r="E2" s="3">
        <v>2070</v>
      </c>
      <c r="F2" s="3">
        <v>8</v>
      </c>
      <c r="G2" s="3">
        <v>5</v>
      </c>
      <c r="H2" s="3">
        <v>3</v>
      </c>
      <c r="I2" s="3">
        <v>2</v>
      </c>
      <c r="J2" s="3">
        <v>3</v>
      </c>
      <c r="K2" s="3">
        <v>40</v>
      </c>
      <c r="L2" s="3">
        <v>62.5</v>
      </c>
      <c r="M2" s="3">
        <v>8</v>
      </c>
      <c r="N2" s="3">
        <v>-3</v>
      </c>
      <c r="O2" s="3">
        <v>12</v>
      </c>
      <c r="P2" s="3">
        <v>28785</v>
      </c>
      <c r="Q2" s="3">
        <v>22.717033443077455</v>
      </c>
      <c r="W2" s="3"/>
      <c r="X2" s="3"/>
      <c r="Y2" s="3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3"/>
      <c r="W3" s="3"/>
      <c r="X3" s="3"/>
      <c r="Y3" s="3"/>
    </row>
    <row r="4" spans="1:25" x14ac:dyDescent="0.3">
      <c r="A4" s="7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3"/>
      <c r="W4" s="3"/>
      <c r="X4" s="3"/>
      <c r="Y4" s="3"/>
    </row>
    <row r="5" spans="1:2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3"/>
      <c r="W5" s="3"/>
      <c r="X5" s="3"/>
      <c r="Y5" s="3"/>
    </row>
    <row r="6" spans="1:2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3"/>
      <c r="W6" s="3"/>
      <c r="X6" s="3"/>
      <c r="Y6" s="3"/>
    </row>
    <row r="7" spans="1:2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3"/>
      <c r="W7" s="3"/>
      <c r="X7" s="3"/>
      <c r="Y7" s="3"/>
    </row>
    <row r="8" spans="1:2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3"/>
      <c r="W8" s="3"/>
      <c r="X8" s="3"/>
      <c r="Y8" s="3"/>
    </row>
    <row r="9" spans="1:25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3"/>
      <c r="W9" s="3">
        <f t="shared" ref="W9:W30" si="0">M9</f>
        <v>0</v>
      </c>
      <c r="X9" s="3">
        <f t="shared" ref="X9:Y30" si="1">P9</f>
        <v>0</v>
      </c>
      <c r="Y9" s="3">
        <f t="shared" si="1"/>
        <v>0</v>
      </c>
    </row>
    <row r="10" spans="1:25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3"/>
      <c r="W10" s="3">
        <f t="shared" si="0"/>
        <v>0</v>
      </c>
      <c r="X10" s="3">
        <f t="shared" si="1"/>
        <v>0</v>
      </c>
      <c r="Y10" s="3">
        <f t="shared" si="1"/>
        <v>0</v>
      </c>
    </row>
    <row r="11" spans="1:2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3"/>
      <c r="W11" s="3">
        <f t="shared" si="0"/>
        <v>0</v>
      </c>
      <c r="X11" s="3">
        <f t="shared" si="1"/>
        <v>0</v>
      </c>
      <c r="Y11" s="3">
        <f t="shared" si="1"/>
        <v>0</v>
      </c>
    </row>
    <row r="12" spans="1:2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3"/>
      <c r="W12" s="3">
        <f t="shared" si="0"/>
        <v>0</v>
      </c>
      <c r="X12" s="3">
        <f t="shared" si="1"/>
        <v>0</v>
      </c>
      <c r="Y12" s="3">
        <f t="shared" si="1"/>
        <v>0</v>
      </c>
    </row>
    <row r="13" spans="1:2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3"/>
      <c r="W13" s="3">
        <f t="shared" si="0"/>
        <v>0</v>
      </c>
      <c r="X13" s="3">
        <f t="shared" si="1"/>
        <v>0</v>
      </c>
      <c r="Y13" s="3">
        <f t="shared" si="1"/>
        <v>0</v>
      </c>
    </row>
    <row r="14" spans="1:2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3"/>
      <c r="W14" s="3">
        <f t="shared" si="0"/>
        <v>0</v>
      </c>
      <c r="X14" s="3">
        <f t="shared" si="1"/>
        <v>0</v>
      </c>
      <c r="Y14" s="3">
        <f t="shared" si="1"/>
        <v>0</v>
      </c>
    </row>
    <row r="15" spans="1:2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3"/>
      <c r="W15" s="3">
        <f t="shared" si="0"/>
        <v>0</v>
      </c>
      <c r="X15" s="3">
        <f t="shared" si="1"/>
        <v>0</v>
      </c>
      <c r="Y15" s="3">
        <f t="shared" si="1"/>
        <v>0</v>
      </c>
    </row>
    <row r="16" spans="1:25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3"/>
      <c r="W16" s="3">
        <f t="shared" si="0"/>
        <v>0</v>
      </c>
      <c r="X16" s="3">
        <f t="shared" si="1"/>
        <v>0</v>
      </c>
      <c r="Y16" s="3">
        <f t="shared" si="1"/>
        <v>0</v>
      </c>
    </row>
    <row r="17" spans="1:2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3"/>
      <c r="W17" s="3">
        <f t="shared" si="0"/>
        <v>0</v>
      </c>
      <c r="X17" s="3">
        <f t="shared" si="1"/>
        <v>0</v>
      </c>
      <c r="Y17" s="3">
        <f t="shared" si="1"/>
        <v>0</v>
      </c>
    </row>
    <row r="18" spans="1:2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3"/>
      <c r="W18" s="3">
        <f t="shared" si="0"/>
        <v>0</v>
      </c>
      <c r="X18" s="3">
        <f t="shared" si="1"/>
        <v>0</v>
      </c>
      <c r="Y18" s="3">
        <f t="shared" si="1"/>
        <v>0</v>
      </c>
    </row>
    <row r="19" spans="1:2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3"/>
      <c r="W19" s="3">
        <f t="shared" si="0"/>
        <v>0</v>
      </c>
      <c r="X19" s="3">
        <f t="shared" si="1"/>
        <v>0</v>
      </c>
      <c r="Y19" s="3">
        <f t="shared" si="1"/>
        <v>0</v>
      </c>
    </row>
    <row r="20" spans="1:2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3"/>
      <c r="W20" s="3">
        <f t="shared" si="0"/>
        <v>0</v>
      </c>
      <c r="X20" s="3">
        <f t="shared" si="1"/>
        <v>0</v>
      </c>
      <c r="Y20" s="3">
        <f t="shared" si="1"/>
        <v>0</v>
      </c>
    </row>
    <row r="21" spans="1:25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3"/>
      <c r="W21" s="3">
        <f t="shared" si="0"/>
        <v>0</v>
      </c>
      <c r="X21" s="3">
        <f t="shared" si="1"/>
        <v>0</v>
      </c>
      <c r="Y21" s="3">
        <f t="shared" si="1"/>
        <v>0</v>
      </c>
    </row>
    <row r="22" spans="1:25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3"/>
      <c r="W22" s="3">
        <f t="shared" si="0"/>
        <v>0</v>
      </c>
      <c r="X22" s="3">
        <f t="shared" si="1"/>
        <v>0</v>
      </c>
      <c r="Y22" s="3">
        <f t="shared" si="1"/>
        <v>0</v>
      </c>
    </row>
    <row r="23" spans="1:25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3"/>
      <c r="W23" s="3">
        <f t="shared" si="0"/>
        <v>0</v>
      </c>
      <c r="X23" s="3">
        <f t="shared" si="1"/>
        <v>0</v>
      </c>
      <c r="Y23" s="3">
        <f t="shared" si="1"/>
        <v>0</v>
      </c>
    </row>
    <row r="24" spans="1:25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3"/>
      <c r="W24" s="3">
        <f t="shared" si="0"/>
        <v>0</v>
      </c>
      <c r="X24" s="3">
        <f t="shared" si="1"/>
        <v>0</v>
      </c>
      <c r="Y24" s="3">
        <f t="shared" si="1"/>
        <v>0</v>
      </c>
    </row>
    <row r="25" spans="1:25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  <c r="Q25" s="3"/>
      <c r="W25" s="3">
        <f t="shared" si="0"/>
        <v>0</v>
      </c>
      <c r="X25" s="3">
        <f t="shared" si="1"/>
        <v>0</v>
      </c>
      <c r="Y25" s="3">
        <f t="shared" si="1"/>
        <v>0</v>
      </c>
    </row>
    <row r="26" spans="1:25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  <c r="Q26" s="3"/>
      <c r="W26" s="3">
        <f t="shared" si="0"/>
        <v>0</v>
      </c>
      <c r="X26" s="3">
        <f t="shared" si="1"/>
        <v>0</v>
      </c>
      <c r="Y26" s="3">
        <f t="shared" si="1"/>
        <v>0</v>
      </c>
    </row>
    <row r="27" spans="1:25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3"/>
      <c r="W27" s="3">
        <f t="shared" si="0"/>
        <v>0</v>
      </c>
      <c r="X27" s="3">
        <f t="shared" si="1"/>
        <v>0</v>
      </c>
      <c r="Y27" s="3">
        <f t="shared" si="1"/>
        <v>0</v>
      </c>
    </row>
    <row r="28" spans="1:25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  <c r="Q28" s="3"/>
      <c r="W28" s="3">
        <f t="shared" si="0"/>
        <v>0</v>
      </c>
      <c r="X28" s="3">
        <f t="shared" si="1"/>
        <v>0</v>
      </c>
      <c r="Y28" s="3">
        <f t="shared" si="1"/>
        <v>0</v>
      </c>
    </row>
    <row r="29" spans="1:25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  <c r="Q29" s="3"/>
      <c r="W29" s="3">
        <f t="shared" si="0"/>
        <v>0</v>
      </c>
      <c r="X29" s="3">
        <f t="shared" si="1"/>
        <v>0</v>
      </c>
      <c r="Y29" s="3">
        <f t="shared" si="1"/>
        <v>0</v>
      </c>
    </row>
    <row r="30" spans="1:25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  <c r="Q30" s="3"/>
      <c r="W30" s="3">
        <f t="shared" si="0"/>
        <v>0</v>
      </c>
      <c r="X30" s="3">
        <f t="shared" si="1"/>
        <v>0</v>
      </c>
      <c r="Y30" s="3">
        <f t="shared" si="1"/>
        <v>0</v>
      </c>
    </row>
  </sheetData>
  <pageMargins left="0.7" right="0.7" top="0.75" bottom="0.75" header="0.3" footer="0.3"/>
  <pageSetup paperSize="9" scale="2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44C7-B76A-4798-BC3A-8DC000EAF9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1624-6089-4C94-9C7C-36595284EBC6}">
  <sheetPr>
    <pageSetUpPr fitToPage="1"/>
  </sheetPr>
  <dimension ref="A1:Y24"/>
  <sheetViews>
    <sheetView zoomScaleNormal="100" workbookViewId="0">
      <selection activeCell="E23" sqref="E23"/>
    </sheetView>
  </sheetViews>
  <sheetFormatPr defaultRowHeight="14.4" x14ac:dyDescent="0.3"/>
  <cols>
    <col min="1" max="1" width="6.88671875" bestFit="1" customWidth="1"/>
    <col min="2" max="2" width="16.88671875" bestFit="1" customWidth="1"/>
    <col min="3" max="3" width="12.33203125" bestFit="1" customWidth="1"/>
    <col min="4" max="4" width="11.88671875" bestFit="1" customWidth="1"/>
    <col min="5" max="5" width="12.21875" bestFit="1" customWidth="1"/>
    <col min="6" max="6" width="17.33203125" bestFit="1" customWidth="1"/>
    <col min="7" max="7" width="23.5546875" bestFit="1" customWidth="1"/>
    <col min="8" max="8" width="26.6640625" bestFit="1" customWidth="1"/>
    <col min="9" max="9" width="20" bestFit="1" customWidth="1"/>
    <col min="10" max="10" width="22.44140625" bestFit="1" customWidth="1"/>
    <col min="11" max="11" width="10.77734375" bestFit="1" customWidth="1"/>
    <col min="12" max="12" width="12.77734375" bestFit="1" customWidth="1"/>
    <col min="13" max="13" width="15.109375" bestFit="1" customWidth="1"/>
    <col min="14" max="14" width="17.6640625" bestFit="1" customWidth="1"/>
    <col min="15" max="15" width="21.77734375" bestFit="1" customWidth="1"/>
    <col min="16" max="16" width="6" bestFit="1" customWidth="1"/>
    <col min="17" max="17" width="11.88671875" bestFit="1" customWidth="1"/>
    <col min="23" max="23" width="15.109375" bestFit="1" customWidth="1"/>
    <col min="24" max="24" width="6" bestFit="1" customWidth="1"/>
    <col min="25" max="25" width="11.88671875" bestFit="1" customWidth="1"/>
  </cols>
  <sheetData>
    <row r="1" spans="1:25" s="1" customFormat="1" ht="18" x14ac:dyDescent="0.3">
      <c r="A1" s="2" t="s">
        <v>16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W1" s="2" t="s">
        <v>10</v>
      </c>
      <c r="X1" s="2" t="s">
        <v>13</v>
      </c>
      <c r="Y1" s="2" t="s">
        <v>14</v>
      </c>
    </row>
    <row r="2" spans="1:25" x14ac:dyDescent="0.3">
      <c r="A2" s="3" t="s">
        <v>21</v>
      </c>
      <c r="B2" s="3" t="s">
        <v>22</v>
      </c>
      <c r="C2" s="3">
        <v>96</v>
      </c>
      <c r="D2" s="3">
        <v>51</v>
      </c>
      <c r="E2" s="3">
        <v>3402</v>
      </c>
      <c r="F2" s="3">
        <v>24</v>
      </c>
      <c r="G2" s="3">
        <v>19</v>
      </c>
      <c r="H2" s="3">
        <v>5</v>
      </c>
      <c r="I2" s="3">
        <v>14</v>
      </c>
      <c r="J2" s="3">
        <v>5</v>
      </c>
      <c r="K2" s="3">
        <v>73.680000000000007</v>
      </c>
      <c r="L2" s="3">
        <v>79.17</v>
      </c>
      <c r="M2" s="3">
        <v>56</v>
      </c>
      <c r="N2" s="3">
        <v>-5</v>
      </c>
      <c r="O2" s="3">
        <v>20</v>
      </c>
      <c r="P2" s="4">
        <v>30481</v>
      </c>
      <c r="Q2" s="3">
        <v>38.434991047189968</v>
      </c>
      <c r="W2" s="3">
        <f t="shared" ref="W2:W24" si="0">M2</f>
        <v>56</v>
      </c>
      <c r="X2" s="3">
        <f t="shared" ref="X2:Y24" si="1">P2</f>
        <v>30481</v>
      </c>
      <c r="Y2" s="3">
        <f t="shared" si="1"/>
        <v>38.434991047189968</v>
      </c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3"/>
      <c r="W3" s="3">
        <f t="shared" si="0"/>
        <v>0</v>
      </c>
      <c r="X3" s="3">
        <f t="shared" si="1"/>
        <v>0</v>
      </c>
      <c r="Y3" s="3">
        <f t="shared" si="1"/>
        <v>0</v>
      </c>
    </row>
    <row r="4" spans="1:25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3"/>
      <c r="W4" s="3">
        <f t="shared" si="0"/>
        <v>0</v>
      </c>
      <c r="X4" s="3">
        <f t="shared" si="1"/>
        <v>0</v>
      </c>
      <c r="Y4" s="3">
        <f t="shared" si="1"/>
        <v>0</v>
      </c>
    </row>
    <row r="5" spans="1:2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3"/>
      <c r="W5" s="3">
        <f t="shared" si="0"/>
        <v>0</v>
      </c>
      <c r="X5" s="3">
        <f t="shared" si="1"/>
        <v>0</v>
      </c>
      <c r="Y5" s="3">
        <f t="shared" si="1"/>
        <v>0</v>
      </c>
    </row>
    <row r="6" spans="1:25" x14ac:dyDescent="0.3">
      <c r="A6" s="3"/>
      <c r="B6" s="3"/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3"/>
      <c r="W6" s="3">
        <f t="shared" si="0"/>
        <v>0</v>
      </c>
      <c r="X6" s="3">
        <f t="shared" si="1"/>
        <v>0</v>
      </c>
      <c r="Y6" s="3">
        <f t="shared" si="1"/>
        <v>0</v>
      </c>
    </row>
    <row r="7" spans="1:2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3"/>
      <c r="W7" s="3">
        <f t="shared" si="0"/>
        <v>0</v>
      </c>
      <c r="X7" s="3">
        <f t="shared" si="1"/>
        <v>0</v>
      </c>
      <c r="Y7" s="3">
        <f t="shared" si="1"/>
        <v>0</v>
      </c>
    </row>
    <row r="8" spans="1:2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3"/>
      <c r="W8" s="3">
        <f t="shared" si="0"/>
        <v>0</v>
      </c>
      <c r="X8" s="3">
        <f t="shared" si="1"/>
        <v>0</v>
      </c>
      <c r="Y8" s="3">
        <f t="shared" si="1"/>
        <v>0</v>
      </c>
    </row>
    <row r="9" spans="1:25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3"/>
      <c r="W9" s="3">
        <f t="shared" si="0"/>
        <v>0</v>
      </c>
      <c r="X9" s="3">
        <f t="shared" si="1"/>
        <v>0</v>
      </c>
      <c r="Y9" s="3">
        <f t="shared" si="1"/>
        <v>0</v>
      </c>
    </row>
    <row r="10" spans="1:25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3"/>
      <c r="W10" s="3">
        <f t="shared" si="0"/>
        <v>0</v>
      </c>
      <c r="X10" s="3">
        <f t="shared" si="1"/>
        <v>0</v>
      </c>
      <c r="Y10" s="3">
        <f t="shared" si="1"/>
        <v>0</v>
      </c>
    </row>
    <row r="11" spans="1:2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3"/>
      <c r="W11" s="3">
        <f t="shared" si="0"/>
        <v>0</v>
      </c>
      <c r="X11" s="3">
        <f t="shared" si="1"/>
        <v>0</v>
      </c>
      <c r="Y11" s="3">
        <f t="shared" si="1"/>
        <v>0</v>
      </c>
    </row>
    <row r="12" spans="1:2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3"/>
      <c r="W12" s="3">
        <f t="shared" si="0"/>
        <v>0</v>
      </c>
      <c r="X12" s="3">
        <f t="shared" si="1"/>
        <v>0</v>
      </c>
      <c r="Y12" s="3">
        <f t="shared" si="1"/>
        <v>0</v>
      </c>
    </row>
    <row r="13" spans="1:2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3"/>
      <c r="W13" s="3">
        <f t="shared" si="0"/>
        <v>0</v>
      </c>
      <c r="X13" s="3">
        <f t="shared" si="1"/>
        <v>0</v>
      </c>
      <c r="Y13" s="3">
        <f t="shared" si="1"/>
        <v>0</v>
      </c>
    </row>
    <row r="14" spans="1:2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3"/>
      <c r="W14" s="3">
        <f t="shared" si="0"/>
        <v>0</v>
      </c>
      <c r="X14" s="3">
        <f t="shared" si="1"/>
        <v>0</v>
      </c>
      <c r="Y14" s="3">
        <f t="shared" si="1"/>
        <v>0</v>
      </c>
    </row>
    <row r="15" spans="1:2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3"/>
      <c r="W15" s="3">
        <f t="shared" si="0"/>
        <v>0</v>
      </c>
      <c r="X15" s="3">
        <f t="shared" si="1"/>
        <v>0</v>
      </c>
      <c r="Y15" s="3">
        <f t="shared" si="1"/>
        <v>0</v>
      </c>
    </row>
    <row r="16" spans="1:25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3"/>
      <c r="W16" s="3">
        <f t="shared" si="0"/>
        <v>0</v>
      </c>
      <c r="X16" s="3">
        <f t="shared" si="1"/>
        <v>0</v>
      </c>
      <c r="Y16" s="3">
        <f t="shared" si="1"/>
        <v>0</v>
      </c>
    </row>
    <row r="17" spans="1:2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3"/>
      <c r="W17" s="3">
        <f t="shared" si="0"/>
        <v>0</v>
      </c>
      <c r="X17" s="3">
        <f t="shared" si="1"/>
        <v>0</v>
      </c>
      <c r="Y17" s="3">
        <f t="shared" si="1"/>
        <v>0</v>
      </c>
    </row>
    <row r="18" spans="1:2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3"/>
      <c r="W18" s="3">
        <f t="shared" si="0"/>
        <v>0</v>
      </c>
      <c r="X18" s="3">
        <f t="shared" si="1"/>
        <v>0</v>
      </c>
      <c r="Y18" s="3">
        <f t="shared" si="1"/>
        <v>0</v>
      </c>
    </row>
    <row r="19" spans="1:2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3"/>
      <c r="W19" s="3">
        <f t="shared" si="0"/>
        <v>0</v>
      </c>
      <c r="X19" s="3">
        <f t="shared" si="1"/>
        <v>0</v>
      </c>
      <c r="Y19" s="3">
        <f t="shared" si="1"/>
        <v>0</v>
      </c>
    </row>
    <row r="20" spans="1:2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3"/>
      <c r="W20" s="3">
        <f t="shared" si="0"/>
        <v>0</v>
      </c>
      <c r="X20" s="3">
        <f t="shared" si="1"/>
        <v>0</v>
      </c>
      <c r="Y20" s="3">
        <f t="shared" si="1"/>
        <v>0</v>
      </c>
    </row>
    <row r="21" spans="1:25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3"/>
      <c r="W21" s="3">
        <f t="shared" si="0"/>
        <v>0</v>
      </c>
      <c r="X21" s="3">
        <f t="shared" si="1"/>
        <v>0</v>
      </c>
      <c r="Y21" s="3">
        <f t="shared" si="1"/>
        <v>0</v>
      </c>
    </row>
    <row r="22" spans="1:25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3"/>
      <c r="W22" s="3">
        <f t="shared" si="0"/>
        <v>0</v>
      </c>
      <c r="X22" s="3">
        <f t="shared" si="1"/>
        <v>0</v>
      </c>
      <c r="Y22" s="3">
        <f t="shared" si="1"/>
        <v>0</v>
      </c>
    </row>
    <row r="23" spans="1:25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3"/>
      <c r="W23" s="3">
        <f t="shared" si="0"/>
        <v>0</v>
      </c>
      <c r="X23" s="3">
        <f t="shared" si="1"/>
        <v>0</v>
      </c>
      <c r="Y23" s="3">
        <f t="shared" si="1"/>
        <v>0</v>
      </c>
    </row>
    <row r="24" spans="1:25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3"/>
      <c r="W24" s="3">
        <f t="shared" si="0"/>
        <v>0</v>
      </c>
      <c r="X24" s="3">
        <f t="shared" si="1"/>
        <v>0</v>
      </c>
      <c r="Y24" s="3">
        <f t="shared" si="1"/>
        <v>0</v>
      </c>
    </row>
  </sheetData>
  <pageMargins left="0.7" right="0.7" top="0.75" bottom="0.75" header="0.3" footer="0.3"/>
  <pageSetup paperSize="9" scale="2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DCE8-0F5B-4D32-A4B1-5CA56BFFAC1D}">
  <dimension ref="A1:R20"/>
  <sheetViews>
    <sheetView workbookViewId="0">
      <selection activeCell="L9" sqref="L9"/>
    </sheetView>
  </sheetViews>
  <sheetFormatPr defaultRowHeight="14.4" x14ac:dyDescent="0.3"/>
  <cols>
    <col min="2" max="2" width="10.109375" bestFit="1" customWidth="1"/>
    <col min="3" max="3" width="9" bestFit="1" customWidth="1"/>
    <col min="4" max="4" width="14.109375" bestFit="1" customWidth="1"/>
    <col min="5" max="5" width="17.33203125" bestFit="1" customWidth="1"/>
    <col min="6" max="6" width="7.109375" bestFit="1" customWidth="1"/>
    <col min="7" max="7" width="10" bestFit="1" customWidth="1"/>
    <col min="8" max="8" width="9" bestFit="1" customWidth="1"/>
    <col min="9" max="9" width="13.44140625" bestFit="1" customWidth="1"/>
    <col min="10" max="10" width="18" bestFit="1" customWidth="1"/>
    <col min="11" max="11" width="13.88671875" bestFit="1" customWidth="1"/>
    <col min="12" max="12" width="7.6640625" bestFit="1" customWidth="1"/>
    <col min="13" max="13" width="6.44140625" bestFit="1" customWidth="1"/>
    <col min="17" max="18" width="18.109375" customWidth="1"/>
  </cols>
  <sheetData>
    <row r="1" spans="1:18" x14ac:dyDescent="0.3">
      <c r="A1" s="8" t="s">
        <v>32</v>
      </c>
      <c r="B1" s="8" t="s">
        <v>2</v>
      </c>
      <c r="C1" s="8" t="s">
        <v>23</v>
      </c>
      <c r="D1" s="8" t="s">
        <v>3</v>
      </c>
      <c r="E1" s="8" t="s">
        <v>24</v>
      </c>
      <c r="F1" s="8" t="s">
        <v>25</v>
      </c>
      <c r="G1" s="8" t="s">
        <v>26</v>
      </c>
      <c r="H1" s="8" t="s">
        <v>8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Q1" s="8" t="s">
        <v>27</v>
      </c>
      <c r="R1" s="8" t="s">
        <v>29</v>
      </c>
    </row>
    <row r="2" spans="1:18" x14ac:dyDescent="0.3">
      <c r="A2" s="5" t="s">
        <v>33</v>
      </c>
      <c r="B2" s="5">
        <v>195000</v>
      </c>
      <c r="C2" s="5">
        <v>10800000</v>
      </c>
      <c r="D2" s="5">
        <v>75</v>
      </c>
      <c r="E2" s="5">
        <v>300</v>
      </c>
      <c r="F2" s="5">
        <v>6</v>
      </c>
      <c r="G2" s="5">
        <v>69</v>
      </c>
      <c r="H2" s="5">
        <v>100</v>
      </c>
      <c r="I2" s="5">
        <v>24</v>
      </c>
      <c r="J2" s="5">
        <v>75</v>
      </c>
      <c r="K2" s="5">
        <v>0</v>
      </c>
      <c r="L2" s="5">
        <v>6</v>
      </c>
      <c r="M2" s="5">
        <v>0</v>
      </c>
      <c r="Q2" s="5">
        <f t="shared" ref="Q2:Q20" si="0">I2</f>
        <v>24</v>
      </c>
      <c r="R2" s="5">
        <f t="shared" ref="R2:R20" si="1">K2</f>
        <v>0</v>
      </c>
    </row>
    <row r="3" spans="1:18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Q3" s="5">
        <f t="shared" si="0"/>
        <v>0</v>
      </c>
      <c r="R3" s="5">
        <f t="shared" si="1"/>
        <v>0</v>
      </c>
    </row>
    <row r="4" spans="1:18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Q4" s="5">
        <f t="shared" si="0"/>
        <v>0</v>
      </c>
      <c r="R4" s="5">
        <f t="shared" si="1"/>
        <v>0</v>
      </c>
    </row>
    <row r="5" spans="1:18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Q5" s="5">
        <f t="shared" si="0"/>
        <v>0</v>
      </c>
      <c r="R5" s="5">
        <f t="shared" si="1"/>
        <v>0</v>
      </c>
    </row>
    <row r="6" spans="1:18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Q6" s="5">
        <f t="shared" si="0"/>
        <v>0</v>
      </c>
      <c r="R6" s="5">
        <f t="shared" si="1"/>
        <v>0</v>
      </c>
    </row>
    <row r="7" spans="1:18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Q7" s="5">
        <f t="shared" si="0"/>
        <v>0</v>
      </c>
      <c r="R7" s="5">
        <f t="shared" si="1"/>
        <v>0</v>
      </c>
    </row>
    <row r="8" spans="1:18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Q8" s="5">
        <f t="shared" si="0"/>
        <v>0</v>
      </c>
      <c r="R8" s="5">
        <f t="shared" si="1"/>
        <v>0</v>
      </c>
    </row>
    <row r="9" spans="1:18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Q9" s="5">
        <f t="shared" si="0"/>
        <v>0</v>
      </c>
      <c r="R9" s="5">
        <f t="shared" si="1"/>
        <v>0</v>
      </c>
    </row>
    <row r="10" spans="1:18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Q10" s="5">
        <f t="shared" si="0"/>
        <v>0</v>
      </c>
      <c r="R10" s="5">
        <f t="shared" si="1"/>
        <v>0</v>
      </c>
    </row>
    <row r="11" spans="1:18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Q11" s="5">
        <f t="shared" si="0"/>
        <v>0</v>
      </c>
      <c r="R11" s="5">
        <f t="shared" si="1"/>
        <v>0</v>
      </c>
    </row>
    <row r="12" spans="1:18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Q12" s="5">
        <f t="shared" si="0"/>
        <v>0</v>
      </c>
      <c r="R12" s="5">
        <f t="shared" si="1"/>
        <v>0</v>
      </c>
    </row>
    <row r="13" spans="1:18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Q13" s="5">
        <f t="shared" si="0"/>
        <v>0</v>
      </c>
      <c r="R13" s="5">
        <f t="shared" si="1"/>
        <v>0</v>
      </c>
    </row>
    <row r="14" spans="1:18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Q14" s="5">
        <f t="shared" si="0"/>
        <v>0</v>
      </c>
      <c r="R14" s="5">
        <f t="shared" si="1"/>
        <v>0</v>
      </c>
    </row>
    <row r="15" spans="1:18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Q15" s="5">
        <f t="shared" si="0"/>
        <v>0</v>
      </c>
      <c r="R15" s="5">
        <f t="shared" si="1"/>
        <v>0</v>
      </c>
    </row>
    <row r="16" spans="1:18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Q16" s="5">
        <f t="shared" si="0"/>
        <v>0</v>
      </c>
      <c r="R16" s="5">
        <f t="shared" si="1"/>
        <v>0</v>
      </c>
    </row>
    <row r="17" spans="1:18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Q17" s="5">
        <f t="shared" si="0"/>
        <v>0</v>
      </c>
      <c r="R17" s="5">
        <f t="shared" si="1"/>
        <v>0</v>
      </c>
    </row>
    <row r="18" spans="1:18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Q18" s="5">
        <f t="shared" si="0"/>
        <v>0</v>
      </c>
      <c r="R18" s="5">
        <f t="shared" si="1"/>
        <v>0</v>
      </c>
    </row>
    <row r="19" spans="1:18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Q19" s="5">
        <f t="shared" si="0"/>
        <v>0</v>
      </c>
      <c r="R19" s="5">
        <f t="shared" si="1"/>
        <v>0</v>
      </c>
    </row>
    <row r="20" spans="1:18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Q20" s="5">
        <f t="shared" si="0"/>
        <v>0</v>
      </c>
      <c r="R20" s="5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Physics</vt:lpstr>
      <vt:lpstr>Chemistry</vt:lpstr>
      <vt:lpstr>Maths</vt:lpstr>
      <vt:lpstr>Sheet1</vt:lpstr>
      <vt:lpstr>OverAllPerformanance</vt:lpstr>
      <vt:lpstr>ExamGoal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 Graphics</dc:creator>
  <cp:lastModifiedBy>Aditya Rawat</cp:lastModifiedBy>
  <cp:lastPrinted>2026-05-10T12:06:46Z</cp:lastPrinted>
  <dcterms:created xsi:type="dcterms:W3CDTF">2026-05-10T11:55:25Z</dcterms:created>
  <dcterms:modified xsi:type="dcterms:W3CDTF">2026-05-10T19:14:32Z</dcterms:modified>
</cp:coreProperties>
</file>